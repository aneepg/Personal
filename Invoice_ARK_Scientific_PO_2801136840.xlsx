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020" yWindow="620" windowWidth="19200" windowHeight="21000" tabRatio="285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'Invoice'!$B$2:$I$29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#,##0.00"/>
    <numFmt numFmtId="165" formatCode="_ * #,##0.00_ ;_ * \-#,##0.00_ ;_ * &quot;-&quot;??_ ;_ @_ 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6"/>
      <scheme val="minor"/>
    </font>
    <font>
      <name val="Tahoma"/>
      <family val="2"/>
      <color theme="1"/>
      <sz val="12"/>
    </font>
    <font>
      <name val="Tahoma"/>
      <family val="2"/>
      <color theme="1"/>
      <sz val="11"/>
    </font>
    <font>
      <name val="Tahoma"/>
      <family val="2"/>
      <b val="1"/>
      <color theme="1"/>
      <sz val="11"/>
      <u val="single"/>
    </font>
    <font>
      <name val="Tahoma"/>
      <family val="2"/>
      <b val="1"/>
      <color theme="1"/>
      <sz val="11"/>
    </font>
    <font>
      <name val="Tahoma"/>
      <family val="2"/>
      <b val="1"/>
      <color theme="1"/>
      <sz val="12"/>
    </font>
    <font>
      <name val="Tahoma"/>
      <family val="2"/>
      <b val="1"/>
      <color theme="1"/>
      <sz val="14"/>
    </font>
    <font>
      <name val="Tahoma"/>
      <family val="2"/>
      <b val="1"/>
      <color theme="1"/>
      <sz val="14"/>
      <u val="single"/>
    </font>
    <font>
      <name val="Tahoma"/>
      <family val="2"/>
      <color theme="1"/>
      <sz val="14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9" fontId="1" fillId="0" borderId="0"/>
    <xf numFmtId="165" fontId="1" fillId="0" borderId="0"/>
  </cellStyleXfs>
  <cellXfs count="74">
    <xf numFmtId="0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  <xf numFmtId="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" fontId="6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1" fontId="8" fillId="0" borderId="2" applyAlignment="1" pivotButton="0" quotePrefix="0" xfId="0">
      <alignment horizontal="left" vertical="center"/>
    </xf>
    <xf numFmtId="1" fontId="6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4" fontId="6" fillId="0" borderId="2" applyAlignment="1" pivotButton="0" quotePrefix="0" xfId="0">
      <alignment vertical="center"/>
    </xf>
    <xf numFmtId="1" fontId="5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1" fontId="0" fillId="0" borderId="0" applyAlignment="1" pivotButton="0" quotePrefix="0" xfId="0">
      <alignment vertical="center"/>
    </xf>
    <xf numFmtId="1" fontId="6" fillId="0" borderId="7" applyAlignment="1" pivotButton="0" quotePrefix="0" xfId="0">
      <alignment vertical="center"/>
    </xf>
    <xf numFmtId="1" fontId="5" fillId="0" borderId="6" applyAlignment="1" pivotButton="0" quotePrefix="0" xfId="0">
      <alignment vertical="center"/>
    </xf>
    <xf numFmtId="1" fontId="8" fillId="0" borderId="2" applyAlignment="1" pivotButton="0" quotePrefix="0" xfId="0">
      <alignment horizontal="center" vertical="center" wrapText="1"/>
    </xf>
    <xf numFmtId="1" fontId="6" fillId="0" borderId="2" applyAlignment="1" pivotButton="0" quotePrefix="0" xfId="0">
      <alignment horizontal="right" vertical="center"/>
    </xf>
    <xf numFmtId="1" fontId="8" fillId="0" borderId="2" applyAlignment="1" pivotButton="0" quotePrefix="0" xfId="2">
      <alignment vertical="center"/>
    </xf>
    <xf numFmtId="1" fontId="6" fillId="0" borderId="2" applyAlignment="1" pivotButton="0" quotePrefix="0" xfId="2">
      <alignment vertical="center"/>
    </xf>
    <xf numFmtId="1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8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4" fillId="0" borderId="2" applyAlignment="1" pivotButton="0" quotePrefix="0" xfId="1">
      <alignment horizontal="center" vertical="center"/>
    </xf>
    <xf numFmtId="0" fontId="5" fillId="0" borderId="2" applyAlignment="1" pivotButton="0" quotePrefix="0" xfId="0">
      <alignment horizontal="center" vertical="center"/>
    </xf>
    <xf numFmtId="9" fontId="10" fillId="0" borderId="2" applyAlignment="1" pivotButton="0" quotePrefix="0" xfId="1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0" fontId="6" fillId="0" borderId="2" applyAlignment="1" pivotButton="0" quotePrefix="0" xfId="0">
      <alignment horizontal="left" vertical="top" wrapText="1"/>
    </xf>
    <xf numFmtId="164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4" fontId="8" fillId="0" borderId="2" applyAlignment="1" pivotButton="0" quotePrefix="0" xfId="2">
      <alignment vertical="center"/>
    </xf>
    <xf numFmtId="4" fontId="6" fillId="0" borderId="2" applyAlignment="1" pivotButton="0" quotePrefix="0" xfId="2">
      <alignment vertical="center"/>
    </xf>
  </cellXfs>
  <cellStyles count="3">
    <cellStyle name="Normal" xfId="0" builtinId="0"/>
    <cellStyle name="Percent" xfId="1" builtinId="5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273050</colOff>
      <row>2</row>
      <rowOff>109015</rowOff>
    </from>
    <to>
      <col>3</col>
      <colOff>247650</colOff>
      <row>8</row>
      <rowOff>114850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11175" y="747190"/>
          <a:ext cx="3098800" cy="16631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485775</colOff>
      <row>25</row>
      <rowOff>35194</rowOff>
    </from>
    <to>
      <col>8</col>
      <colOff>1000125</colOff>
      <row>26</row>
      <rowOff>8326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067425" y="10055494"/>
          <a:ext cx="2171700" cy="7160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838200</colOff>
      <row>25</row>
      <rowOff>43288</rowOff>
    </from>
    <to>
      <col>7</col>
      <colOff>901700</colOff>
      <row>26</row>
      <rowOff>1383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213600" y="9428588"/>
          <a:ext cx="1041400" cy="6946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9"/>
  <sheetViews>
    <sheetView tabSelected="1" view="pageBreakPreview" topLeftCell="A14" zoomScaleNormal="100" zoomScaleSheetLayoutView="100" workbookViewId="0">
      <selection activeCell="B21" sqref="B21:F21"/>
    </sheetView>
  </sheetViews>
  <sheetFormatPr baseColWidth="10" defaultColWidth="8.83203125" defaultRowHeight="15"/>
  <cols>
    <col width="3.5" customWidth="1" style="2" min="1" max="1"/>
    <col width="6.5" customWidth="1" style="2" min="2" max="2"/>
    <col width="40.5" customWidth="1" style="2" min="3" max="3"/>
    <col width="6.5" customWidth="1" style="2" min="4" max="4"/>
    <col width="12.83203125" customWidth="1" style="2" min="5" max="5"/>
    <col width="13.83203125" customWidth="1" style="2" min="6" max="6"/>
    <col width="12.83203125" customWidth="1" style="2" min="7" max="7"/>
    <col width="12" customWidth="1" style="1" min="8" max="8"/>
    <col width="16.6640625" customWidth="1" style="31" min="9" max="9"/>
    <col width="8.83203125" customWidth="1" style="2" min="10" max="16384"/>
  </cols>
  <sheetData>
    <row r="1" ht="26.25" customHeight="1"/>
    <row r="2" ht="24" customFormat="1" customHeight="1" s="11">
      <c r="B2" s="54" t="inlineStr">
        <is>
          <t>TAX INVOICE</t>
        </is>
      </c>
      <c r="C2" s="60" t="n"/>
      <c r="D2" s="60" t="n"/>
      <c r="E2" s="60" t="n"/>
      <c r="F2" s="60" t="n"/>
      <c r="G2" s="60" t="n"/>
      <c r="H2" s="60" t="n"/>
      <c r="I2" s="61" t="n"/>
    </row>
    <row r="3" ht="22" customHeight="1">
      <c r="B3" s="55" t="n"/>
      <c r="C3" s="62" t="n"/>
      <c r="D3" s="63" t="n"/>
      <c r="E3" s="57" t="inlineStr">
        <is>
          <t>ARK SCIENTIFIC</t>
        </is>
      </c>
      <c r="F3" s="60" t="n"/>
      <c r="G3" s="60" t="n"/>
      <c r="H3" s="60" t="n"/>
      <c r="I3" s="61" t="n"/>
    </row>
    <row r="4" ht="22" customFormat="1" customHeight="1" s="3">
      <c r="B4" s="64" t="n"/>
      <c r="D4" s="65" t="n"/>
      <c r="E4" s="58" t="inlineStr">
        <is>
          <t>802, A- Block, Fortune Towers</t>
        </is>
      </c>
      <c r="F4" s="60" t="n"/>
      <c r="G4" s="60" t="n"/>
      <c r="H4" s="60" t="n"/>
      <c r="I4" s="61" t="n"/>
    </row>
    <row r="5" ht="22" customFormat="1" customHeight="1" s="3">
      <c r="B5" s="64" t="n"/>
      <c r="D5" s="65" t="n"/>
      <c r="E5" s="59" t="inlineStr">
        <is>
          <t>Madhapur, Hyderabad</t>
        </is>
      </c>
      <c r="F5" s="60" t="n"/>
      <c r="G5" s="60" t="n"/>
      <c r="H5" s="60" t="n"/>
      <c r="I5" s="61" t="n"/>
    </row>
    <row r="6" ht="22" customFormat="1" customHeight="1" s="3">
      <c r="B6" s="64" t="n"/>
      <c r="D6" s="65" t="n"/>
      <c r="E6" s="59" t="inlineStr">
        <is>
          <t>Telangana, 500081</t>
        </is>
      </c>
      <c r="F6" s="60" t="n"/>
      <c r="G6" s="60" t="n"/>
      <c r="H6" s="60" t="n"/>
      <c r="I6" s="61" t="n"/>
    </row>
    <row r="7" ht="22" customFormat="1" customHeight="1" s="3">
      <c r="B7" s="64" t="n"/>
      <c r="D7" s="65" t="n"/>
      <c r="E7" s="59" t="inlineStr">
        <is>
          <t>e mail: aneep@arkscientific.in</t>
        </is>
      </c>
      <c r="F7" s="60" t="n"/>
      <c r="G7" s="60" t="n"/>
      <c r="H7" s="60" t="n"/>
      <c r="I7" s="61" t="n"/>
    </row>
    <row r="8" ht="22" customFormat="1" customHeight="1" s="3">
      <c r="B8" s="64" t="n"/>
      <c r="D8" s="65" t="n"/>
      <c r="E8" s="59" t="inlineStr">
        <is>
          <t xml:space="preserve"> Tel: 040 - 45315435, Mobile : 9010631144</t>
        </is>
      </c>
      <c r="F8" s="60" t="n"/>
      <c r="G8" s="60" t="n"/>
      <c r="H8" s="60" t="n"/>
      <c r="I8" s="61" t="n"/>
    </row>
    <row r="9" ht="22" customFormat="1" customHeight="1" s="3">
      <c r="B9" s="66" t="n"/>
      <c r="C9" s="67" t="n"/>
      <c r="D9" s="68" t="n"/>
      <c r="E9" s="54" t="inlineStr">
        <is>
          <t>GST: 36BEMPG5239N1ZZ</t>
        </is>
      </c>
      <c r="F9" s="60" t="n"/>
      <c r="G9" s="60" t="n"/>
      <c r="H9" s="60" t="n"/>
      <c r="I9" s="61" t="n"/>
    </row>
    <row r="10" ht="23" customFormat="1" customHeight="1" s="5">
      <c r="B10" s="17" t="n"/>
      <c r="C10" s="10" t="inlineStr">
        <is>
          <t xml:space="preserve">Invoice Number </t>
        </is>
      </c>
      <c r="D10" s="18" t="inlineStr">
        <is>
          <t>LCL/26-27/19</t>
        </is>
      </c>
      <c r="E10" s="19" t="n"/>
      <c r="F10" s="40" t="inlineStr">
        <is>
          <t>P.O No: 2801136840/NE02;  Dt: 17.08.2026</t>
        </is>
      </c>
      <c r="G10" s="60" t="n"/>
      <c r="H10" s="60" t="n"/>
      <c r="I10" s="61" t="n"/>
    </row>
    <row r="11" ht="23" customFormat="1" customHeight="1" s="5">
      <c r="B11" s="10" t="n"/>
      <c r="C11" s="10" t="inlineStr">
        <is>
          <t>Invoice Date</t>
        </is>
      </c>
      <c r="D11" s="41" t="inlineStr">
        <is>
          <t>03.10.2026</t>
        </is>
      </c>
      <c r="E11" s="41" t="n"/>
      <c r="F11" s="41" t="inlineStr">
        <is>
          <t>Transportation Mode : By Road</t>
        </is>
      </c>
      <c r="G11" s="60" t="n"/>
      <c r="H11" s="60" t="n"/>
      <c r="I11" s="61" t="n"/>
    </row>
    <row r="12" ht="23" customFormat="1" customHeight="1" s="5">
      <c r="B12" s="10" t="n"/>
      <c r="C12" s="17" t="inlineStr">
        <is>
          <t xml:space="preserve">Tax is payable on Reverse Charge </t>
        </is>
      </c>
      <c r="D12" s="44" t="inlineStr">
        <is>
          <t>No</t>
        </is>
      </c>
      <c r="E12" s="41" t="n"/>
      <c r="F12" s="41" t="inlineStr">
        <is>
          <t>Vendor Code: 0000744221;  Buyer GSTIN: 24AAACG0569P1ZD</t>
        </is>
      </c>
      <c r="G12" s="60" t="n"/>
      <c r="H12" s="60" t="n"/>
      <c r="I12" s="61" t="n"/>
    </row>
    <row r="13" ht="23" customFormat="1" customHeight="1" s="6">
      <c r="B13" s="40" t="n"/>
      <c r="C13" s="26" t="inlineStr">
        <is>
          <t xml:space="preserve">Billing &amp; Consignee Address </t>
        </is>
      </c>
      <c r="D13" s="46" t="inlineStr">
        <is>
          <t xml:space="preserve">Delievery Address </t>
        </is>
      </c>
      <c r="E13" s="60" t="n"/>
      <c r="F13" s="60" t="n"/>
      <c r="G13" s="61" t="n"/>
      <c r="H13" s="50" t="inlineStr">
        <is>
          <t>Bank Details</t>
        </is>
      </c>
      <c r="I13" s="61" t="n"/>
    </row>
    <row r="14" ht="172" customFormat="1" customHeight="1" s="5">
      <c r="B14" s="21" t="n"/>
      <c r="C14" s="22" t="inlineStr">
        <is>
          <t>AMBUJA CEMENTS LTD
TALUKA: KODINAR, PO: AMBUJANAGAR
GIR SOMNATH - 362715, GUJARAT
PAN: AAACG0569P
CIN: L26942GJ1981PLC004717
GSTIN: 24AAACG0569P1ZD</t>
        </is>
      </c>
      <c r="D14" s="47" t="inlineStr">
        <is>
          <t>AMBUJA CEMENTS LTD
ACL AMBUJANAGAR SITE / BCT MULDWARKA SITE (DAP)
TALUKA: KODINAR, PO: AMBUJANAGAR
GIR SOMNATH - 362715, GUJARAT</t>
        </is>
      </c>
      <c r="E14" s="60" t="n"/>
      <c r="F14" s="60" t="n"/>
      <c r="G14" s="61" t="n"/>
      <c r="H14" s="52" t="inlineStr">
        <is>
          <t>Bank Account Number: 048863700001935
Name of Bank: YES BANK LIMITED,                           Address: Jubilee Hills, Unit No: G1 and G2, Hyderabad, Road NO:36, Jubilee Square, 
Bank Branch MICR code: 500532008
Bank Branch NEFT IFSC code:  YESB0000488</t>
        </is>
      </c>
      <c r="I14" s="61" t="n"/>
    </row>
    <row r="15" ht="25" customFormat="1" customHeight="1" s="5">
      <c r="B15" s="40" t="n"/>
      <c r="C15" s="40" t="n"/>
      <c r="D15" s="46" t="inlineStr">
        <is>
          <t xml:space="preserve">Payment Terms		  </t>
        </is>
      </c>
      <c r="E15" s="60" t="n"/>
      <c r="F15" s="60" t="n"/>
      <c r="G15" s="61" t="n"/>
      <c r="H15" s="16" t="n"/>
      <c r="I15" s="32" t="n"/>
    </row>
    <row r="16" ht="25" customFormat="1" customHeight="1" s="4">
      <c r="B16" s="23" t="n"/>
      <c r="C16" s="29" t="n"/>
      <c r="D16" s="48" t="inlineStr">
        <is>
          <t>Net 30 days from date of receipt of material at site with correct invoice (PO clause 5.0)</t>
        </is>
      </c>
      <c r="E16" s="60" t="n"/>
      <c r="F16" s="60" t="n"/>
      <c r="G16" s="61" t="n"/>
      <c r="H16" s="28" t="n"/>
      <c r="I16" s="33" t="n"/>
    </row>
    <row r="17" ht="30" customFormat="1" customHeight="1" s="5">
      <c r="B17" s="53" t="inlineStr">
        <is>
          <t>S.No</t>
        </is>
      </c>
      <c r="C17" s="53" t="inlineStr">
        <is>
          <t>Description of Goods</t>
        </is>
      </c>
      <c r="D17" s="53" t="inlineStr">
        <is>
          <t>Qty</t>
        </is>
      </c>
      <c r="E17" s="25" t="inlineStr">
        <is>
          <t>Unit Rate INR</t>
        </is>
      </c>
      <c r="F17" s="53" t="inlineStr">
        <is>
          <t>HSN</t>
        </is>
      </c>
      <c r="G17" s="53" t="inlineStr">
        <is>
          <t>IGST-18%</t>
        </is>
      </c>
      <c r="H17" s="53" t="inlineStr">
        <is>
          <t>UOM</t>
        </is>
      </c>
      <c r="I17" s="34" t="inlineStr">
        <is>
          <t xml:space="preserve"> Total Amount INR</t>
        </is>
      </c>
    </row>
    <row r="18" ht="140" customFormat="1" customHeight="1" s="5">
      <c r="B18" s="46" t="n">
        <v>1</v>
      </c>
      <c r="C18" s="69" t="inlineStr">
        <is>
          <t>AIR JET SIEVING M/C, MM: AS200JET, RETSCH
Supplied as: Siebtechnik TEMA SLS 200 Air-Jet Sieve Analyzer for dry sieving (made in Germany), with 3 nos sieve each of 90, 45 and 212 micron, Nilfisk Attix 44 vacuum cleaner and Mettler Toledo LA204 balance.
Power: 100-240 V, 50/60 Hz.  PO Item 00001, Item Code 558000008687</t>
        </is>
      </c>
      <c r="D18" s="46" t="n">
        <v>2</v>
      </c>
      <c r="E18" s="13" t="n">
        <v>955216</v>
      </c>
      <c r="F18" s="39" t="n">
        <v>90229090</v>
      </c>
      <c r="G18" s="13">
        <f>I18*18%</f>
        <v/>
      </c>
      <c r="H18" s="70" t="inlineStr">
        <is>
          <t>EA</t>
        </is>
      </c>
      <c r="I18" s="13">
        <f>D18*E18</f>
        <v/>
      </c>
    </row>
    <row r="19" ht="25" customFormat="1" customHeight="1" s="5">
      <c r="B19" s="46" t="n"/>
      <c r="C19" s="39" t="n"/>
      <c r="D19" s="10" t="n"/>
      <c r="E19" s="27" t="n"/>
      <c r="F19" s="71" t="n"/>
      <c r="G19" s="71" t="n"/>
      <c r="H19" s="71" t="n"/>
      <c r="I19" s="35" t="n"/>
    </row>
    <row r="20" ht="25" customFormat="1" customHeight="1" s="5">
      <c r="B20" s="46" t="inlineStr">
        <is>
          <t>Invoice Value in Words</t>
        </is>
      </c>
      <c r="C20" s="60" t="n"/>
      <c r="D20" s="60" t="n"/>
      <c r="E20" s="60" t="n"/>
      <c r="F20" s="61" t="n"/>
      <c r="G20" s="45" t="inlineStr">
        <is>
          <t>Total Taxable Value INR</t>
        </is>
      </c>
      <c r="H20" s="61" t="n"/>
      <c r="I20" s="72">
        <f>SUM(I18:I18)</f>
        <v/>
      </c>
    </row>
    <row r="21" ht="25" customFormat="1" customHeight="1" s="5">
      <c r="B21" s="56" t="inlineStr">
        <is>
          <t>Twenty Two Lakh Fifty Four Thousand Three Hundred Nine Rupees and Seventy Six Paise only</t>
        </is>
      </c>
      <c r="C21" s="60" t="n"/>
      <c r="D21" s="60" t="n"/>
      <c r="E21" s="60" t="n"/>
      <c r="F21" s="61" t="n"/>
      <c r="G21" s="39" t="inlineStr">
        <is>
          <t>CGST - 9%</t>
        </is>
      </c>
      <c r="H21" s="61" t="n"/>
      <c r="I21" s="73" t="n">
        <v>0</v>
      </c>
    </row>
    <row r="22" ht="25" customFormat="1" customHeight="1" s="5">
      <c r="B22" s="46" t="n"/>
      <c r="C22" s="60" t="n"/>
      <c r="D22" s="60" t="n"/>
      <c r="E22" s="60" t="n"/>
      <c r="F22" s="61" t="n"/>
      <c r="G22" s="39" t="inlineStr">
        <is>
          <t>SGST - 9%</t>
        </is>
      </c>
      <c r="H22" s="61" t="n"/>
      <c r="I22" s="27" t="n">
        <v>0</v>
      </c>
    </row>
    <row r="23" ht="25" customFormat="1" customHeight="1" s="5">
      <c r="B23" s="46" t="n"/>
      <c r="C23" s="60" t="n"/>
      <c r="D23" s="60" t="n"/>
      <c r="E23" s="60" t="n"/>
      <c r="F23" s="61" t="n"/>
      <c r="G23" s="39" t="inlineStr">
        <is>
          <t>IGST - 18%</t>
        </is>
      </c>
      <c r="H23" s="61" t="n"/>
      <c r="I23" s="27">
        <f>I20*18%</f>
        <v/>
      </c>
    </row>
    <row r="24" ht="25" customFormat="1" customHeight="1" s="7">
      <c r="B24" s="53" t="n"/>
      <c r="C24" s="60" t="n"/>
      <c r="D24" s="60" t="n"/>
      <c r="E24" s="60" t="n"/>
      <c r="F24" s="61" t="n"/>
      <c r="G24" s="45" t="inlineStr">
        <is>
          <t>Total Invoice Value INR</t>
        </is>
      </c>
      <c r="H24" s="61" t="n"/>
      <c r="I24" s="72">
        <f>SUM(I20:I23)</f>
        <v/>
      </c>
    </row>
    <row r="25" ht="25" customFormat="1" customHeight="1" s="5">
      <c r="B25" s="46" t="n"/>
      <c r="C25" s="60" t="n"/>
      <c r="D25" s="60" t="n"/>
      <c r="E25" s="60" t="n"/>
      <c r="F25" s="61" t="n"/>
      <c r="G25" s="53" t="inlineStr">
        <is>
          <t>For ARK SCIENTIFIC</t>
        </is>
      </c>
      <c r="H25" s="60" t="n"/>
      <c r="I25" s="61" t="n"/>
    </row>
    <row r="26" ht="58.5" customFormat="1" customHeight="1" s="5">
      <c r="B26" s="46" t="inlineStr">
        <is>
          <t>Contact Person Name :  Aneep Garneni</t>
        </is>
      </c>
      <c r="C26" s="60" t="n"/>
      <c r="D26" s="60" t="n"/>
      <c r="E26" s="60" t="n"/>
      <c r="F26" s="61" t="n"/>
      <c r="G26" s="46" t="n"/>
      <c r="H26" s="60" t="n"/>
      <c r="I26" s="61" t="n"/>
    </row>
    <row r="27" ht="25" customFormat="1" customHeight="1" s="5">
      <c r="B27" s="46" t="n"/>
      <c r="C27" s="60" t="n"/>
      <c r="D27" s="60" t="n"/>
      <c r="E27" s="60" t="n"/>
      <c r="F27" s="61" t="n"/>
      <c r="G27" s="53" t="inlineStr">
        <is>
          <t>Authorised Signatory</t>
        </is>
      </c>
      <c r="H27" s="60" t="n"/>
      <c r="I27" s="61" t="n"/>
    </row>
    <row r="28" ht="22" customFormat="1" customHeight="1" s="5">
      <c r="B28" s="46" t="n"/>
      <c r="C28" s="60" t="n"/>
      <c r="D28" s="60" t="n"/>
      <c r="E28" s="60" t="n"/>
      <c r="F28" s="61" t="n"/>
      <c r="G28" s="10" t="inlineStr">
        <is>
          <t xml:space="preserve">Name </t>
        </is>
      </c>
      <c r="H28" s="46" t="inlineStr">
        <is>
          <t>Aneep</t>
        </is>
      </c>
      <c r="I28" s="61" t="n"/>
    </row>
    <row r="29" ht="22" customFormat="1" customHeight="1" s="5">
      <c r="B29" s="46" t="n"/>
      <c r="C29" s="60" t="n"/>
      <c r="D29" s="60" t="n"/>
      <c r="E29" s="60" t="n"/>
      <c r="F29" s="61" t="n"/>
      <c r="G29" s="17" t="inlineStr">
        <is>
          <t>Designation</t>
        </is>
      </c>
      <c r="H29" s="46" t="inlineStr">
        <is>
          <t>ADMIN</t>
        </is>
      </c>
      <c r="I29" s="61" t="n"/>
    </row>
  </sheetData>
  <mergeCells count="38">
    <mergeCell ref="E3:I3"/>
    <mergeCell ref="G21:H21"/>
    <mergeCell ref="B3:D9"/>
    <mergeCell ref="H29:I29"/>
    <mergeCell ref="B25:F25"/>
    <mergeCell ref="D15:G15"/>
    <mergeCell ref="G23:H23"/>
    <mergeCell ref="B22:F22"/>
    <mergeCell ref="E5:I5"/>
    <mergeCell ref="E8:I8"/>
    <mergeCell ref="B27:F27"/>
    <mergeCell ref="D14:G14"/>
    <mergeCell ref="B21:F21"/>
    <mergeCell ref="E4:I4"/>
    <mergeCell ref="G22:H22"/>
    <mergeCell ref="B2:I2"/>
    <mergeCell ref="F11:I11"/>
    <mergeCell ref="B23:F23"/>
    <mergeCell ref="G26:I26"/>
    <mergeCell ref="F10:I10"/>
    <mergeCell ref="E9:I9"/>
    <mergeCell ref="G25:I25"/>
    <mergeCell ref="B29:F29"/>
    <mergeCell ref="G24:H24"/>
    <mergeCell ref="E6:I6"/>
    <mergeCell ref="B28:F28"/>
    <mergeCell ref="F12:I12"/>
    <mergeCell ref="D13:G13"/>
    <mergeCell ref="H28:I28"/>
    <mergeCell ref="H13:I13"/>
    <mergeCell ref="G20:H20"/>
    <mergeCell ref="E7:I7"/>
    <mergeCell ref="B24:F24"/>
    <mergeCell ref="G27:I27"/>
    <mergeCell ref="B20:F20"/>
    <mergeCell ref="D16:G16"/>
    <mergeCell ref="H14:I14"/>
    <mergeCell ref="B26:F26"/>
  </mergeCells>
  <pageMargins left="0.5905511811023623" right="0.2362204724409449" top="0.9448818897637796" bottom="0.5511811023622047" header="0.3149606299212598" footer="0.3149606299212598"/>
  <pageSetup orientation="portrait" paperSize="9" scale="7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srig</dc:creator>
  <dcterms:created xmlns:dcterms="http://purl.org/dc/terms/" xmlns:xsi="http://www.w3.org/2001/XMLSchema-instance" xsi:type="dcterms:W3CDTF">2011-05-19T12:12:40Z</dcterms:created>
  <dcterms:modified xmlns:dcterms="http://purl.org/dc/terms/" xmlns:xsi="http://www.w3.org/2001/XMLSchema-instance" xsi:type="dcterms:W3CDTF">2026-10-03T07:45:09Z</dcterms:modified>
  <cp:lastModifiedBy>aneep chowdary</cp:lastModifiedBy>
  <cp:lastPrinted>2025-12-08T10:20:45Z</cp:lastPrinted>
</cp:coreProperties>
</file>